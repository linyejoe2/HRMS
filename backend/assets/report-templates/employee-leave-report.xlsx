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請假表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作者不明</author>
  </authors>
  <commentList>
    <comment ref="A5" authorId="0">
      <text>
        <r>
          <rPr>
            <sz val="10"/>
            <rFont val="Noto Sans CJK TC"/>
            <family val="2"/>
          </rPr>
          <t xml:space="preserve">真實請假日開始日
</t>
        </r>
      </text>
    </comment>
    <comment ref="B5" authorId="0">
      <text>
        <r>
          <rPr>
            <sz val="10"/>
            <rFont val="Noto Sans CJK TC"/>
            <family val="2"/>
          </rPr>
          <t xml:space="preserve">真實請假結束日
</t>
        </r>
      </text>
    </comment>
    <comment ref="T5" authorId="0">
      <text>
        <r>
          <rPr>
            <sz val="10"/>
            <rFont val="Noto Sans CJK TC"/>
            <family val="2"/>
          </rPr>
          <t xml:space="preserve">真實請假日開始日
</t>
        </r>
      </text>
    </comment>
    <comment ref="U5" authorId="0">
      <text>
        <r>
          <rPr>
            <sz val="10"/>
            <rFont val="Noto Sans CJK TC"/>
            <family val="2"/>
          </rPr>
          <t xml:space="preserve">真實請假結束日
</t>
        </r>
      </text>
    </comment>
  </commentList>
</comments>
</file>

<file path=xl/sharedStrings.xml><?xml version="1.0" encoding="utf-8"?>
<sst xmlns="http://schemas.openxmlformats.org/spreadsheetml/2006/main" count="59" uniqueCount="31">
  <si>
    <t xml:space="preserve">卡號：</t>
  </si>
  <si>
    <t xml:space="preserve">A542</t>
  </si>
  <si>
    <t xml:space="preserve">單位：</t>
  </si>
  <si>
    <t xml:space="preserve">補休：</t>
  </si>
  <si>
    <t xml:space="preserve"> 2025/07/24 ~ 2026/07/23</t>
  </si>
  <si>
    <t xml:space="preserve"> 2026/07/24 ~ 2027/07/23</t>
  </si>
  <si>
    <t xml:space="preserve">姓名：</t>
  </si>
  <si>
    <t xml:space="preserve">林協志</t>
  </si>
  <si>
    <t xml:space="preserve">特休日數：</t>
  </si>
  <si>
    <t xml:space="preserve">特休小時數：</t>
  </si>
  <si>
    <t xml:space="preserve">  </t>
  </si>
  <si>
    <t xml:space="preserve">起 </t>
  </si>
  <si>
    <t xml:space="preserve">訖</t>
  </si>
  <si>
    <t xml:space="preserve">病假</t>
  </si>
  <si>
    <t xml:space="preserve">事假</t>
  </si>
  <si>
    <t xml:space="preserve">婚假</t>
  </si>
  <si>
    <t xml:space="preserve">喪假</t>
  </si>
  <si>
    <t xml:space="preserve">生理假</t>
  </si>
  <si>
    <t xml:space="preserve">公假</t>
  </si>
  <si>
    <t xml:space="preserve">公傷病假</t>
  </si>
  <si>
    <t xml:space="preserve">產假</t>
  </si>
  <si>
    <t xml:space="preserve">產檢假</t>
  </si>
  <si>
    <t xml:space="preserve">陪產假</t>
  </si>
  <si>
    <t xml:space="preserve">安胎假</t>
  </si>
  <si>
    <t xml:space="preserve">育嬰留停</t>
  </si>
  <si>
    <t xml:space="preserve">特休</t>
  </si>
  <si>
    <t xml:space="preserve">特休已休累計</t>
  </si>
  <si>
    <t xml:space="preserve">剩餘特休時數</t>
  </si>
  <si>
    <t xml:space="preserve">備註</t>
  </si>
  <si>
    <t xml:space="preserve">114年度已請時數</t>
  </si>
  <si>
    <t xml:space="preserve">總計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</si>
</sst>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/d"/>
    <numFmt numFmtId="166" formatCode="@"/>
    <numFmt numFmtId="167" formatCode="0;\-0;;@"/>
    <numFmt numFmtId="168" formatCode="General"/>
    <numFmt numFmtId="169" formatCode="mm\月dd\日;@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微軟正黑體"/>
      <family val="0"/>
      <charset val="1"/>
    </font>
    <font>
      <b val="true"/>
      <sz val="8"/>
      <color rgb="FF000000"/>
      <name val="微軟正黑體"/>
      <family val="0"/>
      <charset val="1"/>
    </font>
    <font>
      <b val="true"/>
      <sz val="10"/>
      <color rgb="FF000000"/>
      <name val="微軟正黑體"/>
      <family val="0"/>
      <charset val="1"/>
    </font>
    <font>
      <b val="true"/>
      <sz val="12"/>
      <color rgb="FF000000"/>
      <name val="微軟正黑體"/>
      <family val="0"/>
      <charset val="1"/>
    </font>
    <font>
      <sz val="10"/>
      <name val="Noto Sans CJK TC"/>
      <family val="2"/>
    </font>
  </fonts>
  <fills count="5">
    <fill>
      <patternFill patternType="none"/>
    </fill>
    <fill>
      <patternFill patternType="gray125"/>
    </fill>
    <fill>
      <patternFill patternType="solid">
        <fgColor rgb="FFFFDBB6"/>
        <bgColor rgb="FFDEE6EF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1048576"/>
  <sheetViews>
    <sheetView showFormulas="false" showGridLines="tru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AE10" activeCellId="0" sqref="AE10"/>
    </sheetView>
  </sheetViews>
  <sheetFormatPr defaultColWidth="7.23828125" defaultRowHeight="24.95" zeroHeight="false" outlineLevelRow="0" outlineLevelCol="0"/>
  <cols>
    <col collapsed="false" customWidth="false" hidden="false" outlineLevel="0" max="2" min="1" style="1" width="7.24"/>
    <col collapsed="false" customWidth="true" hidden="false" outlineLevel="0" max="15" min="3" style="1" width="6.32"/>
    <col collapsed="false" customWidth="true" hidden="false" outlineLevel="0" max="17" min="16" style="1" width="8.74"/>
    <col collapsed="false" customWidth="true" hidden="false" outlineLevel="0" max="18" min="18" style="1" width="9.67"/>
    <col collapsed="false" customWidth="true" hidden="false" outlineLevel="0" max="19" min="19" style="2" width="4.65"/>
    <col collapsed="false" customWidth="false" hidden="false" outlineLevel="0" max="21" min="20" style="1" width="7.24"/>
    <col collapsed="false" customWidth="true" hidden="false" outlineLevel="0" max="34" min="22" style="1" width="6.32"/>
    <col collapsed="false" customWidth="true" hidden="false" outlineLevel="0" max="36" min="35" style="1" width="8.74"/>
    <col collapsed="false" customWidth="true" hidden="false" outlineLevel="0" max="37" min="37" style="1" width="9.67"/>
    <col collapsed="false" customWidth="true" hidden="false" outlineLevel="0" max="38" min="38" style="1" width="4.65"/>
    <col collapsed="false" customWidth="false" hidden="false" outlineLevel="0" max="16384" min="56" style="1" width="7.24"/>
  </cols>
  <sheetData>
    <row r="1" customFormat="false" ht="11.9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4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4"/>
    </row>
    <row r="2" s="11" customFormat="true" ht="24.95" hidden="false" customHeight="true" outlineLevel="0" collapsed="false">
      <c r="A2" s="5"/>
      <c r="B2" s="6" t="s">
        <v>0</v>
      </c>
      <c r="C2" s="6"/>
      <c r="D2" s="7" t="s">
        <v>1</v>
      </c>
      <c r="E2" s="7"/>
      <c r="F2" s="6" t="s">
        <v>2</v>
      </c>
      <c r="G2" s="6"/>
      <c r="H2" s="8" t="n">
        <v>5006</v>
      </c>
      <c r="I2" s="8"/>
      <c r="J2" s="6" t="s">
        <v>3</v>
      </c>
      <c r="K2" s="6"/>
      <c r="L2" s="8" t="s">
        <v>4</v>
      </c>
      <c r="M2" s="8"/>
      <c r="N2" s="8"/>
      <c r="O2" s="8"/>
      <c r="P2" s="9"/>
      <c r="Q2" s="9"/>
      <c r="R2" s="10"/>
      <c r="S2" s="2"/>
      <c r="T2" s="5"/>
      <c r="U2" s="6" t="s">
        <v>0</v>
      </c>
      <c r="V2" s="6"/>
      <c r="W2" s="7" t="s">
        <v>1</v>
      </c>
      <c r="X2" s="7"/>
      <c r="Y2" s="6" t="s">
        <v>2</v>
      </c>
      <c r="Z2" s="6"/>
      <c r="AA2" s="8" t="n">
        <v>5006</v>
      </c>
      <c r="AB2" s="8"/>
      <c r="AC2" s="6" t="s">
        <v>3</v>
      </c>
      <c r="AD2" s="6"/>
      <c r="AE2" s="8" t="s">
        <v>5</v>
      </c>
      <c r="AF2" s="8"/>
      <c r="AG2" s="8"/>
      <c r="AH2" s="8"/>
      <c r="AI2" s="9"/>
      <c r="AJ2" s="9"/>
      <c r="AK2" s="10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</row>
    <row r="3" s="11" customFormat="true" ht="24.95" hidden="false" customHeight="true" outlineLevel="0" collapsed="false">
      <c r="A3" s="5"/>
      <c r="B3" s="12" t="s">
        <v>6</v>
      </c>
      <c r="C3" s="12"/>
      <c r="D3" s="7" t="s">
        <v>7</v>
      </c>
      <c r="E3" s="7"/>
      <c r="F3" s="6" t="s">
        <v>8</v>
      </c>
      <c r="G3" s="6"/>
      <c r="H3" s="8" t="n">
        <v>7</v>
      </c>
      <c r="I3" s="8"/>
      <c r="J3" s="12" t="s">
        <v>9</v>
      </c>
      <c r="K3" s="12"/>
      <c r="L3" s="8" t="n">
        <f aca="false">H3*8</f>
        <v>56</v>
      </c>
      <c r="M3" s="8"/>
      <c r="N3" s="6" t="s">
        <v>10</v>
      </c>
      <c r="O3" s="6"/>
      <c r="P3" s="8"/>
      <c r="Q3" s="8"/>
      <c r="R3" s="13"/>
      <c r="S3" s="2"/>
      <c r="T3" s="5"/>
      <c r="U3" s="12" t="s">
        <v>6</v>
      </c>
      <c r="V3" s="12"/>
      <c r="W3" s="7" t="s">
        <v>7</v>
      </c>
      <c r="X3" s="7"/>
      <c r="Y3" s="6" t="s">
        <v>8</v>
      </c>
      <c r="Z3" s="6"/>
      <c r="AA3" s="8" t="n">
        <v>14</v>
      </c>
      <c r="AB3" s="8"/>
      <c r="AC3" s="12" t="s">
        <v>9</v>
      </c>
      <c r="AD3" s="12"/>
      <c r="AE3" s="8" t="n">
        <f aca="false">AA3*8</f>
        <v>112</v>
      </c>
      <c r="AF3" s="8"/>
      <c r="AG3" s="6" t="s">
        <v>10</v>
      </c>
      <c r="AH3" s="6"/>
      <c r="AI3" s="8"/>
      <c r="AJ3" s="8"/>
      <c r="AK3" s="13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</row>
    <row r="4" customFormat="false" ht="11.9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5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5"/>
    </row>
    <row r="5" s="19" customFormat="true" ht="24.95" hidden="false" customHeight="true" outlineLevel="0" collapsed="false">
      <c r="A5" s="16" t="s">
        <v>11</v>
      </c>
      <c r="B5" s="17" t="s">
        <v>12</v>
      </c>
      <c r="C5" s="17" t="s">
        <v>13</v>
      </c>
      <c r="D5" s="17" t="s">
        <v>14</v>
      </c>
      <c r="E5" s="17" t="s">
        <v>15</v>
      </c>
      <c r="F5" s="17" t="s">
        <v>16</v>
      </c>
      <c r="G5" s="17" t="s">
        <v>17</v>
      </c>
      <c r="H5" s="17" t="s">
        <v>18</v>
      </c>
      <c r="I5" s="17" t="s">
        <v>19</v>
      </c>
      <c r="J5" s="17" t="s">
        <v>20</v>
      </c>
      <c r="K5" s="17" t="s">
        <v>21</v>
      </c>
      <c r="L5" s="17" t="s">
        <v>22</v>
      </c>
      <c r="M5" s="17" t="s">
        <v>23</v>
      </c>
      <c r="N5" s="17" t="s">
        <v>24</v>
      </c>
      <c r="O5" s="17" t="s">
        <v>25</v>
      </c>
      <c r="P5" s="17" t="s">
        <v>26</v>
      </c>
      <c r="Q5" s="17" t="s">
        <v>27</v>
      </c>
      <c r="R5" s="18" t="s">
        <v>28</v>
      </c>
      <c r="S5" s="2"/>
      <c r="T5" s="16" t="s">
        <v>11</v>
      </c>
      <c r="U5" s="17" t="s">
        <v>12</v>
      </c>
      <c r="V5" s="17" t="s">
        <v>13</v>
      </c>
      <c r="W5" s="17" t="s">
        <v>14</v>
      </c>
      <c r="X5" s="17" t="s">
        <v>15</v>
      </c>
      <c r="Y5" s="17" t="s">
        <v>16</v>
      </c>
      <c r="Z5" s="17" t="s">
        <v>17</v>
      </c>
      <c r="AA5" s="17" t="s">
        <v>18</v>
      </c>
      <c r="AB5" s="17" t="s">
        <v>19</v>
      </c>
      <c r="AC5" s="17" t="s">
        <v>20</v>
      </c>
      <c r="AD5" s="17" t="s">
        <v>21</v>
      </c>
      <c r="AE5" s="17" t="s">
        <v>22</v>
      </c>
      <c r="AF5" s="17" t="s">
        <v>23</v>
      </c>
      <c r="AG5" s="17" t="s">
        <v>24</v>
      </c>
      <c r="AH5" s="17" t="s">
        <v>25</v>
      </c>
      <c r="AI5" s="17" t="s">
        <v>26</v>
      </c>
      <c r="AJ5" s="17" t="s">
        <v>27</v>
      </c>
      <c r="AK5" s="18" t="s">
        <v>28</v>
      </c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</row>
    <row r="6" customFormat="false" ht="24.95" hidden="false" customHeight="true" outlineLevel="0" collapsed="false">
      <c r="A6" s="20" t="s">
        <v>29</v>
      </c>
      <c r="B6" s="20"/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2" t="n">
        <v>36</v>
      </c>
      <c r="P6" s="23" t="n">
        <f aca="false">O6</f>
        <v>36</v>
      </c>
      <c r="Q6" s="23" t="n">
        <f aca="false">L3-P6</f>
        <v>20</v>
      </c>
      <c r="R6" s="24"/>
      <c r="T6" s="20"/>
      <c r="U6" s="25"/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2" t="n">
        <v>0</v>
      </c>
      <c r="AI6" s="23" t="n">
        <f aca="false">AH6</f>
        <v>0</v>
      </c>
      <c r="AJ6" s="23" t="n">
        <f aca="false">AE3-AI6</f>
        <v>112</v>
      </c>
      <c r="AK6" s="24"/>
    </row>
    <row r="7" customFormat="false" ht="24.95" hidden="false" customHeight="true" outlineLevel="0" collapsed="false">
      <c r="A7" s="26" t="n">
        <v>46136</v>
      </c>
      <c r="B7" s="27" t="n">
        <v>46136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2" t="n">
        <v>8</v>
      </c>
      <c r="P7" s="23" t="n">
        <f aca="false">P6+O7</f>
        <v>44</v>
      </c>
      <c r="Q7" s="23" t="n">
        <f aca="false">L3-P7</f>
        <v>12</v>
      </c>
      <c r="R7" s="24"/>
      <c r="T7" s="26"/>
      <c r="U7" s="27"/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2" t="n">
        <v>0</v>
      </c>
      <c r="AI7" s="23" t="n">
        <f aca="false">AI6+AH7</f>
        <v>0</v>
      </c>
      <c r="AJ7" s="23" t="n">
        <f aca="false">AE3-AI7</f>
        <v>112</v>
      </c>
      <c r="AK7" s="24"/>
    </row>
    <row r="8" customFormat="false" ht="24.95" hidden="false" customHeight="true" outlineLevel="0" collapsed="false">
      <c r="A8" s="26" t="n">
        <v>46140</v>
      </c>
      <c r="B8" s="27" t="n">
        <v>46140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2" t="n">
        <v>8</v>
      </c>
      <c r="P8" s="23" t="n">
        <f aca="false">P7+O8</f>
        <v>52</v>
      </c>
      <c r="Q8" s="23" t="n">
        <f aca="false">L3-P8</f>
        <v>4</v>
      </c>
      <c r="R8" s="24"/>
      <c r="T8" s="26"/>
      <c r="U8" s="27"/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2" t="n">
        <v>0</v>
      </c>
      <c r="AI8" s="23" t="n">
        <f aca="false">AI7+AH8</f>
        <v>0</v>
      </c>
      <c r="AJ8" s="23" t="n">
        <f aca="false">AE3-AI8</f>
        <v>112</v>
      </c>
      <c r="AK8" s="24"/>
    </row>
    <row r="9" customFormat="false" ht="24.95" hidden="false" customHeight="true" outlineLevel="0" collapsed="false">
      <c r="A9" s="26" t="n">
        <v>46174</v>
      </c>
      <c r="B9" s="27" t="n">
        <v>46174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2" t="n">
        <v>4</v>
      </c>
      <c r="P9" s="23" t="n">
        <f aca="false">P8+O9</f>
        <v>56</v>
      </c>
      <c r="Q9" s="23" t="n">
        <f aca="false">L3-P9</f>
        <v>0</v>
      </c>
      <c r="R9" s="24"/>
      <c r="T9" s="26"/>
      <c r="U9" s="27"/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2" t="n">
        <v>0</v>
      </c>
      <c r="AI9" s="23" t="n">
        <f aca="false">AI8+AH9</f>
        <v>0</v>
      </c>
      <c r="AJ9" s="23" t="n">
        <f aca="false">AE3-AI9</f>
        <v>112</v>
      </c>
      <c r="AK9" s="24"/>
    </row>
    <row r="10" customFormat="false" ht="24.95" hidden="false" customHeight="true" outlineLevel="0" collapsed="false">
      <c r="A10" s="26" t="n">
        <v>46216</v>
      </c>
      <c r="B10" s="27" t="n">
        <v>46220</v>
      </c>
      <c r="C10" s="21" t="n">
        <v>0</v>
      </c>
      <c r="D10" s="21" t="n">
        <v>40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2" t="n">
        <v>0</v>
      </c>
      <c r="P10" s="23" t="n">
        <f aca="false">P9+O10</f>
        <v>56</v>
      </c>
      <c r="Q10" s="23" t="n">
        <f aca="false">L3-P10</f>
        <v>0</v>
      </c>
      <c r="R10" s="24"/>
      <c r="T10" s="26"/>
      <c r="U10" s="27"/>
      <c r="V10" s="21" t="n">
        <v>0</v>
      </c>
      <c r="W10" s="21" t="n">
        <v>0</v>
      </c>
      <c r="X10" s="21" t="n">
        <v>0</v>
      </c>
      <c r="Y10" s="21" t="n">
        <v>0</v>
      </c>
      <c r="Z10" s="21" t="n">
        <v>0</v>
      </c>
      <c r="AA10" s="21" t="n">
        <v>0</v>
      </c>
      <c r="AB10" s="21" t="n">
        <v>0</v>
      </c>
      <c r="AC10" s="21" t="n">
        <v>0</v>
      </c>
      <c r="AD10" s="21" t="n">
        <v>0</v>
      </c>
      <c r="AE10" s="21" t="n">
        <v>0</v>
      </c>
      <c r="AF10" s="21" t="n">
        <v>0</v>
      </c>
      <c r="AG10" s="21" t="n">
        <v>0</v>
      </c>
      <c r="AH10" s="22" t="n">
        <v>0</v>
      </c>
      <c r="AI10" s="23" t="n">
        <f aca="false">AI9+AH10</f>
        <v>0</v>
      </c>
      <c r="AJ10" s="23" t="n">
        <f aca="false">AE3-AI10</f>
        <v>112</v>
      </c>
      <c r="AK10" s="24"/>
    </row>
    <row r="11" customFormat="false" ht="24.95" hidden="false" customHeight="true" outlineLevel="0" collapsed="false">
      <c r="A11" s="26" t="n">
        <v>46206</v>
      </c>
      <c r="B11" s="27" t="n">
        <v>46206</v>
      </c>
      <c r="C11" s="21" t="n">
        <v>0</v>
      </c>
      <c r="D11" s="21" t="n">
        <v>4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2" t="n">
        <v>0</v>
      </c>
      <c r="P11" s="23" t="n">
        <f aca="false">P10+O11</f>
        <v>56</v>
      </c>
      <c r="Q11" s="23" t="n">
        <f aca="false">L3-P11</f>
        <v>0</v>
      </c>
      <c r="R11" s="24"/>
      <c r="T11" s="26"/>
      <c r="U11" s="27"/>
      <c r="V11" s="21" t="n">
        <v>0</v>
      </c>
      <c r="W11" s="21" t="n">
        <v>0</v>
      </c>
      <c r="X11" s="21" t="n">
        <v>0</v>
      </c>
      <c r="Y11" s="21" t="n">
        <v>0</v>
      </c>
      <c r="Z11" s="21" t="n">
        <v>0</v>
      </c>
      <c r="AA11" s="21" t="n">
        <v>0</v>
      </c>
      <c r="AB11" s="21" t="n">
        <v>0</v>
      </c>
      <c r="AC11" s="21" t="n">
        <v>0</v>
      </c>
      <c r="AD11" s="21" t="n">
        <v>0</v>
      </c>
      <c r="AE11" s="21" t="n">
        <v>0</v>
      </c>
      <c r="AF11" s="21" t="n">
        <v>0</v>
      </c>
      <c r="AG11" s="21" t="n">
        <v>0</v>
      </c>
      <c r="AH11" s="22" t="n">
        <v>0</v>
      </c>
      <c r="AI11" s="23" t="n">
        <f aca="false">AI10+AH11</f>
        <v>0</v>
      </c>
      <c r="AJ11" s="23" t="n">
        <f aca="false">AE3-AI11</f>
        <v>112</v>
      </c>
      <c r="AK11" s="24"/>
    </row>
    <row r="12" customFormat="false" ht="24.95" hidden="false" customHeight="true" outlineLevel="0" collapsed="false">
      <c r="A12" s="26" t="n">
        <v>46212</v>
      </c>
      <c r="B12" s="27" t="n">
        <v>46212</v>
      </c>
      <c r="C12" s="21" t="n">
        <v>0</v>
      </c>
      <c r="D12" s="21" t="n">
        <v>4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2" t="n">
        <v>0</v>
      </c>
      <c r="P12" s="23" t="n">
        <f aca="false">P11+O12</f>
        <v>56</v>
      </c>
      <c r="Q12" s="23" t="n">
        <f aca="false">L3-P12</f>
        <v>0</v>
      </c>
      <c r="R12" s="24"/>
      <c r="T12" s="26"/>
      <c r="U12" s="27"/>
      <c r="V12" s="21" t="n">
        <v>0</v>
      </c>
      <c r="W12" s="21" t="n">
        <v>0</v>
      </c>
      <c r="X12" s="21" t="n">
        <v>0</v>
      </c>
      <c r="Y12" s="21" t="n">
        <v>0</v>
      </c>
      <c r="Z12" s="21" t="n">
        <v>0</v>
      </c>
      <c r="AA12" s="21" t="n">
        <v>0</v>
      </c>
      <c r="AB12" s="21" t="n">
        <v>0</v>
      </c>
      <c r="AC12" s="21" t="n">
        <v>0</v>
      </c>
      <c r="AD12" s="21" t="n">
        <v>0</v>
      </c>
      <c r="AE12" s="21" t="n">
        <v>0</v>
      </c>
      <c r="AF12" s="21" t="n">
        <v>0</v>
      </c>
      <c r="AG12" s="21" t="n">
        <v>0</v>
      </c>
      <c r="AH12" s="22" t="n">
        <v>0</v>
      </c>
      <c r="AI12" s="23" t="n">
        <f aca="false">AI11+AH12</f>
        <v>0</v>
      </c>
      <c r="AJ12" s="23" t="n">
        <f aca="false">AE3-AI12</f>
        <v>112</v>
      </c>
      <c r="AK12" s="24"/>
    </row>
    <row r="13" customFormat="false" ht="24.95" hidden="false" customHeight="true" outlineLevel="0" collapsed="false">
      <c r="A13" s="26"/>
      <c r="B13" s="27"/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2" t="n">
        <v>0</v>
      </c>
      <c r="P13" s="23" t="n">
        <f aca="false">P12+O13</f>
        <v>56</v>
      </c>
      <c r="Q13" s="23" t="n">
        <f aca="false">L3-P13</f>
        <v>0</v>
      </c>
      <c r="R13" s="24"/>
      <c r="T13" s="26"/>
      <c r="U13" s="27"/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2" t="n">
        <v>0</v>
      </c>
      <c r="AI13" s="23" t="n">
        <f aca="false">AI12+AH13</f>
        <v>0</v>
      </c>
      <c r="AJ13" s="23" t="n">
        <f aca="false">AE3-AI13</f>
        <v>112</v>
      </c>
      <c r="AK13" s="24"/>
    </row>
    <row r="14" customFormat="false" ht="24.95" hidden="false" customHeight="true" outlineLevel="0" collapsed="false">
      <c r="A14" s="26"/>
      <c r="B14" s="27"/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2" t="n">
        <v>0</v>
      </c>
      <c r="P14" s="23" t="n">
        <f aca="false">P13+O14</f>
        <v>56</v>
      </c>
      <c r="Q14" s="23" t="n">
        <f aca="false">L3-P14</f>
        <v>0</v>
      </c>
      <c r="R14" s="24"/>
      <c r="T14" s="26"/>
      <c r="U14" s="27"/>
      <c r="V14" s="21" t="n">
        <v>0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v>0</v>
      </c>
      <c r="AH14" s="22" t="n">
        <v>0</v>
      </c>
      <c r="AI14" s="23" t="n">
        <f aca="false">AI13+AH14</f>
        <v>0</v>
      </c>
      <c r="AJ14" s="23" t="n">
        <f aca="false">AE3-AI14</f>
        <v>112</v>
      </c>
      <c r="AK14" s="24"/>
    </row>
    <row r="15" customFormat="false" ht="24.95" hidden="false" customHeight="true" outlineLevel="0" collapsed="false">
      <c r="A15" s="26"/>
      <c r="B15" s="27"/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2" t="n">
        <v>0</v>
      </c>
      <c r="P15" s="23" t="n">
        <f aca="false">P14+O15</f>
        <v>56</v>
      </c>
      <c r="Q15" s="23" t="n">
        <f aca="false">L3-P15</f>
        <v>0</v>
      </c>
      <c r="R15" s="24"/>
      <c r="T15" s="26"/>
      <c r="U15" s="27"/>
      <c r="V15" s="21" t="n">
        <v>0</v>
      </c>
      <c r="W15" s="21" t="n">
        <v>0</v>
      </c>
      <c r="X15" s="21" t="n">
        <v>0</v>
      </c>
      <c r="Y15" s="21" t="n">
        <v>0</v>
      </c>
      <c r="Z15" s="21" t="n">
        <v>0</v>
      </c>
      <c r="AA15" s="21" t="n">
        <v>0</v>
      </c>
      <c r="AB15" s="21" t="n">
        <v>0</v>
      </c>
      <c r="AC15" s="21" t="n">
        <v>0</v>
      </c>
      <c r="AD15" s="21" t="n">
        <v>0</v>
      </c>
      <c r="AE15" s="21" t="n">
        <v>0</v>
      </c>
      <c r="AF15" s="21" t="n">
        <v>0</v>
      </c>
      <c r="AG15" s="21" t="n">
        <v>0</v>
      </c>
      <c r="AH15" s="22" t="n">
        <v>0</v>
      </c>
      <c r="AI15" s="23" t="n">
        <f aca="false">AI14+AH15</f>
        <v>0</v>
      </c>
      <c r="AJ15" s="23" t="n">
        <f aca="false">AE3-AI15</f>
        <v>112</v>
      </c>
      <c r="AK15" s="24"/>
    </row>
    <row r="16" customFormat="false" ht="24.95" hidden="false" customHeight="true" outlineLevel="0" collapsed="false">
      <c r="A16" s="26"/>
      <c r="B16" s="27"/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2" t="n">
        <v>0</v>
      </c>
      <c r="P16" s="23" t="n">
        <f aca="false">P15+O16</f>
        <v>56</v>
      </c>
      <c r="Q16" s="23" t="n">
        <f aca="false">L3-P16</f>
        <v>0</v>
      </c>
      <c r="R16" s="24"/>
      <c r="T16" s="26"/>
      <c r="U16" s="27"/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2" t="n">
        <v>0</v>
      </c>
      <c r="AI16" s="23" t="n">
        <f aca="false">AI15+AH16</f>
        <v>0</v>
      </c>
      <c r="AJ16" s="23" t="n">
        <f aca="false">AE3-AI16</f>
        <v>112</v>
      </c>
      <c r="AK16" s="24"/>
    </row>
    <row r="17" customFormat="false" ht="24.95" hidden="false" customHeight="true" outlineLevel="0" collapsed="false">
      <c r="A17" s="26"/>
      <c r="B17" s="27"/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2" t="n">
        <v>0</v>
      </c>
      <c r="P17" s="23" t="n">
        <f aca="false">P16+O17</f>
        <v>56</v>
      </c>
      <c r="Q17" s="23" t="n">
        <f aca="false">L3-P17</f>
        <v>0</v>
      </c>
      <c r="R17" s="24"/>
      <c r="T17" s="26"/>
      <c r="U17" s="27"/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2" t="n">
        <v>0</v>
      </c>
      <c r="AI17" s="23" t="n">
        <f aca="false">AI16+AH17</f>
        <v>0</v>
      </c>
      <c r="AJ17" s="23" t="n">
        <f aca="false">AE3-AI17</f>
        <v>112</v>
      </c>
      <c r="AK17" s="24"/>
    </row>
    <row r="18" customFormat="false" ht="24.95" hidden="false" customHeight="true" outlineLevel="0" collapsed="false">
      <c r="A18" s="26"/>
      <c r="B18" s="27"/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2" t="n">
        <v>0</v>
      </c>
      <c r="P18" s="23" t="n">
        <f aca="false">P17+O18</f>
        <v>56</v>
      </c>
      <c r="Q18" s="23" t="n">
        <f aca="false">L3-P18</f>
        <v>0</v>
      </c>
      <c r="R18" s="24"/>
      <c r="T18" s="26"/>
      <c r="U18" s="27"/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2" t="n">
        <v>0</v>
      </c>
      <c r="AI18" s="23" t="n">
        <f aca="false">AI17+AH18</f>
        <v>0</v>
      </c>
      <c r="AJ18" s="23" t="n">
        <f aca="false">AE3-AI18</f>
        <v>112</v>
      </c>
      <c r="AK18" s="24"/>
    </row>
    <row r="19" customFormat="false" ht="24.95" hidden="false" customHeight="true" outlineLevel="0" collapsed="false">
      <c r="A19" s="26"/>
      <c r="B19" s="27"/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2" t="n">
        <v>0</v>
      </c>
      <c r="P19" s="23" t="n">
        <f aca="false">P18+O19</f>
        <v>56</v>
      </c>
      <c r="Q19" s="23" t="n">
        <f aca="false">L3-P19</f>
        <v>0</v>
      </c>
      <c r="R19" s="24"/>
      <c r="T19" s="26"/>
      <c r="U19" s="27"/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2" t="n">
        <v>0</v>
      </c>
      <c r="AI19" s="23" t="n">
        <f aca="false">AI18+AH19</f>
        <v>0</v>
      </c>
      <c r="AJ19" s="23" t="n">
        <f aca="false">AE3-AI19</f>
        <v>112</v>
      </c>
      <c r="AK19" s="24"/>
    </row>
    <row r="20" customFormat="false" ht="24.95" hidden="false" customHeight="true" outlineLevel="0" collapsed="false">
      <c r="A20" s="28" t="s">
        <v>30</v>
      </c>
      <c r="B20" s="28"/>
      <c r="C20" s="29" t="n">
        <f aca="false">SUM(C6:C19)</f>
        <v>0</v>
      </c>
      <c r="D20" s="29" t="n">
        <f aca="false">SUM(D6:D19)</f>
        <v>48</v>
      </c>
      <c r="E20" s="29" t="n">
        <f aca="false">SUM(E6:E19)</f>
        <v>0</v>
      </c>
      <c r="F20" s="29" t="n">
        <f aca="false">SUM(F6:F19)</f>
        <v>0</v>
      </c>
      <c r="G20" s="29" t="n">
        <f aca="false">SUM(G6:G19)</f>
        <v>0</v>
      </c>
      <c r="H20" s="29" t="n">
        <f aca="false">SUM(H6:H19)</f>
        <v>0</v>
      </c>
      <c r="I20" s="29" t="n">
        <f aca="false">SUM(I6:I19)</f>
        <v>0</v>
      </c>
      <c r="J20" s="29" t="n">
        <f aca="false">SUM(J6:J19)</f>
        <v>0</v>
      </c>
      <c r="K20" s="29" t="n">
        <f aca="false">SUM(K6:K19)</f>
        <v>0</v>
      </c>
      <c r="L20" s="29" t="n">
        <f aca="false">SUM(L6:L19)</f>
        <v>0</v>
      </c>
      <c r="M20" s="29" t="n">
        <f aca="false">SUM(M6:M19)</f>
        <v>0</v>
      </c>
      <c r="N20" s="29" t="n">
        <f aca="false">SUM(N6:N19)</f>
        <v>0</v>
      </c>
      <c r="O20" s="30" t="n">
        <f aca="false">SUM(O6:O19)</f>
        <v>56</v>
      </c>
      <c r="P20" s="31" t="n">
        <f aca="false">P19</f>
        <v>56</v>
      </c>
      <c r="Q20" s="31" t="n">
        <f aca="false">Q19</f>
        <v>0</v>
      </c>
      <c r="R20" s="32"/>
      <c r="T20" s="28" t="s">
        <v>30</v>
      </c>
      <c r="U20" s="28"/>
      <c r="V20" s="29" t="n">
        <f aca="false">SUM(V6:V19)</f>
        <v>0</v>
      </c>
      <c r="W20" s="29" t="n">
        <f aca="false">SUM(W6:W19)</f>
        <v>0</v>
      </c>
      <c r="X20" s="29" t="n">
        <f aca="false">SUM(X6:X19)</f>
        <v>0</v>
      </c>
      <c r="Y20" s="29" t="n">
        <f aca="false">SUM(Y6:Y19)</f>
        <v>0</v>
      </c>
      <c r="Z20" s="29" t="n">
        <f aca="false">SUM(Z6:Z19)</f>
        <v>0</v>
      </c>
      <c r="AA20" s="29" t="n">
        <f aca="false">SUM(AA6:AA19)</f>
        <v>0</v>
      </c>
      <c r="AB20" s="29" t="n">
        <f aca="false">SUM(AB6:AB19)</f>
        <v>0</v>
      </c>
      <c r="AC20" s="29" t="n">
        <f aca="false">SUM(AC6:AC19)</f>
        <v>0</v>
      </c>
      <c r="AD20" s="29" t="n">
        <f aca="false">SUM(AD6:AD19)</f>
        <v>0</v>
      </c>
      <c r="AE20" s="29" t="n">
        <f aca="false">SUM(AE6:AE19)</f>
        <v>0</v>
      </c>
      <c r="AF20" s="29" t="n">
        <f aca="false">SUM(AF6:AF19)</f>
        <v>0</v>
      </c>
      <c r="AG20" s="29" t="n">
        <f aca="false">SUM(AG6:AG19)</f>
        <v>0</v>
      </c>
      <c r="AH20" s="30" t="n">
        <f aca="false">SUM(AH6:AH19)</f>
        <v>0</v>
      </c>
      <c r="AI20" s="31" t="n">
        <f aca="false">AI19</f>
        <v>0</v>
      </c>
      <c r="AJ20" s="31" t="n">
        <f aca="false">AJ19</f>
        <v>112</v>
      </c>
      <c r="AK20" s="32"/>
    </row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37">
    <mergeCell ref="A1:Q1"/>
    <mergeCell ref="T1:AJ1"/>
    <mergeCell ref="B2:C2"/>
    <mergeCell ref="D2:E2"/>
    <mergeCell ref="F2:G2"/>
    <mergeCell ref="H2:I2"/>
    <mergeCell ref="J2:K2"/>
    <mergeCell ref="L2:O2"/>
    <mergeCell ref="P2:Q2"/>
    <mergeCell ref="U2:V2"/>
    <mergeCell ref="W2:X2"/>
    <mergeCell ref="Y2:Z2"/>
    <mergeCell ref="AA2:AB2"/>
    <mergeCell ref="AC2:AD2"/>
    <mergeCell ref="AE2:AH2"/>
    <mergeCell ref="AI2:AJ2"/>
    <mergeCell ref="B3:C3"/>
    <mergeCell ref="D3:E3"/>
    <mergeCell ref="F3:G3"/>
    <mergeCell ref="H3:I3"/>
    <mergeCell ref="J3:K3"/>
    <mergeCell ref="L3:M3"/>
    <mergeCell ref="N3:O3"/>
    <mergeCell ref="P3:Q3"/>
    <mergeCell ref="U3:V3"/>
    <mergeCell ref="W3:X3"/>
    <mergeCell ref="Y3:Z3"/>
    <mergeCell ref="AA3:AB3"/>
    <mergeCell ref="AC3:AD3"/>
    <mergeCell ref="AE3:AF3"/>
    <mergeCell ref="AG3:AH3"/>
    <mergeCell ref="AI3:AJ3"/>
    <mergeCell ref="A4:Q4"/>
    <mergeCell ref="T4:AJ4"/>
    <mergeCell ref="A6:B6"/>
    <mergeCell ref="A20:B20"/>
    <mergeCell ref="T20:U20"/>
  </mergeCells>
  <printOptions headings="false" gridLines="false" gridLinesSet="true" horizontalCentered="true" verticalCentered="true"/>
  <pageMargins left="0.39375" right="0.39375" top="0.472222222222222" bottom="0.472222222222222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2026-07-21T03:12:23Z</dcterms:created>
  <dc:creator>Unknown</dc:creator>
  <dc:description/>
  <dc:language>zh-TW</dc:language>
  <cp:lastModifiedBy/>
  <dcterms:modified xsi:type="dcterms:W3CDTF">2026-07-21T16:14:04Z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